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PROJECT - PARKING MANAGEMENT SYSTEM\"/>
    </mc:Choice>
  </mc:AlternateContent>
  <xr:revisionPtr revIDLastSave="0" documentId="13_ncr:1_{1951A678-B50F-450E-8514-C7C56988CC8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est Case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2" l="1"/>
  <c r="B14" i="2"/>
  <c r="E14" i="2" s="1"/>
  <c r="C13" i="2"/>
  <c r="B13" i="2"/>
  <c r="E13" i="2" s="1"/>
  <c r="C8" i="2"/>
  <c r="B8" i="2"/>
  <c r="E8" i="2" s="1"/>
  <c r="C7" i="2"/>
  <c r="B7" i="2"/>
  <c r="E7" i="2" s="1"/>
  <c r="C6" i="2"/>
  <c r="B6" i="2"/>
  <c r="E6" i="2" s="1"/>
  <c r="C5" i="2"/>
  <c r="C9" i="2" s="1"/>
  <c r="B5" i="2"/>
  <c r="E5" i="2" s="1"/>
  <c r="D8" i="2" l="1"/>
  <c r="B9" i="2"/>
  <c r="E9" i="2" s="1"/>
  <c r="D5" i="2"/>
  <c r="D6" i="2"/>
  <c r="D13" i="2"/>
  <c r="D7" i="2"/>
  <c r="D14" i="2"/>
  <c r="D9" i="2" l="1"/>
</calcChain>
</file>

<file path=xl/sharedStrings.xml><?xml version="1.0" encoding="utf-8"?>
<sst xmlns="http://schemas.openxmlformats.org/spreadsheetml/2006/main" count="442" uniqueCount="290">
  <si>
    <t>Test Case ID</t>
  </si>
  <si>
    <t>Test Level</t>
  </si>
  <si>
    <t>Related Requirement</t>
  </si>
  <si>
    <t>Scenario Type</t>
  </si>
  <si>
    <t>Test Objective</t>
  </si>
  <si>
    <t>Preconditions</t>
  </si>
  <si>
    <t>Test Input</t>
  </si>
  <si>
    <t>Test Steps</t>
  </si>
  <si>
    <t>Expected Output</t>
  </si>
  <si>
    <t>Actual Output</t>
  </si>
  <si>
    <t>Status</t>
  </si>
  <si>
    <t>Tester</t>
  </si>
  <si>
    <t>Date Tested</t>
  </si>
  <si>
    <t>TC-U-01</t>
  </si>
  <si>
    <t>Unit</t>
  </si>
  <si>
    <t>FR-01</t>
  </si>
  <si>
    <t>Positive</t>
  </si>
  <si>
    <t>Verify vehicle registration accepts a complete, valid record</t>
  </si>
  <si>
    <t>Registration kiosk screen is open and empty</t>
  </si>
  <si>
    <t>Owner: Bikash Shrestha; Plate: BA-2-PA-4521; Phone: 555-0311; Vehicle: Sedan</t>
  </si>
  <si>
    <t>1) Enter all required fields with valid data. 2) Click Save.</t>
  </si>
  <si>
    <t>Record is saved; system returns a new unique Vehicle ID and confirmation message</t>
  </si>
  <si>
    <t>Record saved; Vehicle ID VH-2207 generated; confirmation shown</t>
  </si>
  <si>
    <t>Pass</t>
  </si>
  <si>
    <t>Aayush</t>
  </si>
  <si>
    <t>TC-U-02</t>
  </si>
  <si>
    <t>Negative</t>
  </si>
  <si>
    <t>Verify registration rejects a record with a missing license plate number</t>
  </si>
  <si>
    <t>Owner: Nirajan Gurung; Plate: (blank); Phone: 555-0387</t>
  </si>
  <si>
    <t>1) Leave the License Plate field blank. 2) Fill remaining fields. 3) Click Save.</t>
  </si>
  <si>
    <t>Save is blocked; validation message 'License Plate Number is required' is shown</t>
  </si>
  <si>
    <t>Save blocked; correct validation message shown</t>
  </si>
  <si>
    <t>TC-U-03</t>
  </si>
  <si>
    <t>Verify registration rejects an invalid phone number format</t>
  </si>
  <si>
    <t>Phone: 'abc-311-XYZZ'</t>
  </si>
  <si>
    <t>1) Enter an alphabetic/invalid value in the Phone field. 2) Click Save.</t>
  </si>
  <si>
    <t>Save is blocked; validation message 'Enter a valid phone number' is shown</t>
  </si>
  <si>
    <t>Save proceeded without validation error; invalid value was stored</t>
  </si>
  <si>
    <t>Fail</t>
  </si>
  <si>
    <t>TC-U-04</t>
  </si>
  <si>
    <t>FR-02</t>
  </si>
  <si>
    <t>Verify slot catalog search returns the correct record for an exact slot-ID match</t>
  </si>
  <si>
    <t>Slot B-014 exists in Zone B of the parking catalog</t>
  </si>
  <si>
    <t>Search term: 'B-014'</t>
  </si>
  <si>
    <t>1) Enter the slot ID in the search box. 2) Press Enter.</t>
  </si>
  <si>
    <t>Exactly one matching slot is displayed within 3 seconds</t>
  </si>
  <si>
    <t>Record displayed in 1.1 seconds</t>
  </si>
  <si>
    <t>TC-U-05</t>
  </si>
  <si>
    <t>Verify slot catalog search handles a non-existent slot ID gracefully</t>
  </si>
  <si>
    <t>No slot with ID 'Z-999' exists in the parking catalog</t>
  </si>
  <si>
    <t>Search term: 'Z-999'</t>
  </si>
  <si>
    <t>System shows 'No matching slot found' with no application error</t>
  </si>
  <si>
    <t>Message shown as expected; no crash</t>
  </si>
  <si>
    <t>TC-U-06</t>
  </si>
  <si>
    <t>FR-03</t>
  </si>
  <si>
    <t>Verify slot-availability function correctly reports an available slot</t>
  </si>
  <si>
    <t>Slot B-014 in Zone B has no active vehicle assigned</t>
  </si>
  <si>
    <t>Zone: B; Slot ID: B-014</t>
  </si>
  <si>
    <t>1) Call availability check for the given slot ID.</t>
  </si>
  <si>
    <t>Function returns 'Available: true'</t>
  </si>
  <si>
    <t>Returned Available: true</t>
  </si>
  <si>
    <t>Priya</t>
  </si>
  <si>
    <t>TC-U-07</t>
  </si>
  <si>
    <t>FR-04</t>
  </si>
  <si>
    <t>Verify slot-availability function correctly flags an already-occupied slot</t>
  </si>
  <si>
    <t>Slot B-014 in Zone B is currently occupied by another vehicle</t>
  </si>
  <si>
    <t>1) Call availability check for the same slot ID.</t>
  </si>
  <si>
    <t>Function returns 'Available: false' and blocks a second assignment</t>
  </si>
  <si>
    <t>Returned Available: false; assignment blocked</t>
  </si>
  <si>
    <t>TC-U-08</t>
  </si>
  <si>
    <t>FR-10</t>
  </si>
  <si>
    <t>Verify parking-fee calculation computes the correct total for an overstayed vehicle</t>
  </si>
  <si>
    <t>Hourly rate = $1.50/hour; vehicle overstayed 3 hours past the paid period; Lost-ticket fee = $0</t>
  </si>
  <si>
    <t>Line items: Overstay fee 3 hours x $1.50</t>
  </si>
  <si>
    <t>1) Enter hours overstayed. 2) Trigger total calculation.</t>
  </si>
  <si>
    <t>Total displayed = $4.50</t>
  </si>
  <si>
    <t>TC-U-09</t>
  </si>
  <si>
    <t>Verify parking-fee calculation rejects a negative fee amount</t>
  </si>
  <si>
    <t>Fees screen open for an active vehicle session</t>
  </si>
  <si>
    <t>Line item amount: -$5</t>
  </si>
  <si>
    <t>1) Enter -5 as a fee amount. 2) Attempt to save the fee.</t>
  </si>
  <si>
    <t>Save is blocked; validation message 'Amount must be positive' is shown</t>
  </si>
  <si>
    <t>Save blocked; correct message shown</t>
  </si>
  <si>
    <t>TC-U-10</t>
  </si>
  <si>
    <t>FR-11</t>
  </si>
  <si>
    <t>Verify a Parking Attendant-role account cannot access the fee-waiver function</t>
  </si>
  <si>
    <t>Logged in as Parking Attendant role</t>
  </si>
  <si>
    <t>Attempt to open 'Waive Fees' screen (Administrator-only)</t>
  </si>
  <si>
    <t>1) Navigate directly to the fee-waiver URL/menu as Parking Attendant.</t>
  </si>
  <si>
    <t>Access is denied; 'You do not have permission' message is shown</t>
  </si>
  <si>
    <t>Access denied as expected</t>
  </si>
  <si>
    <t>TC-I-01</t>
  </si>
  <si>
    <t>Integration</t>
  </si>
  <si>
    <t>FR-01, FR-07</t>
  </si>
  <si>
    <t>Verify a new vehicle registration automatically creates a linked parking history record</t>
  </si>
  <si>
    <t>Registration module and Parking History module are both online</t>
  </si>
  <si>
    <t>New owner: Sabina Karki, Plate BA-4-CHA-1187</t>
  </si>
  <si>
    <t>1) Register the new vehicle. 2) Open the Parking History module and search for the vehicle.</t>
  </si>
  <si>
    <t>An empty parking history shell is auto-created and linked to the new Vehicle ID</t>
  </si>
  <si>
    <t>Parking history shell created and linked correctly</t>
  </si>
  <si>
    <t>TC-I-02</t>
  </si>
  <si>
    <t>FR-05</t>
  </si>
  <si>
    <t>Verify a confirmed slot reservation triggers an SMS notification via the notification service</t>
  </si>
  <si>
    <t>Owner has a valid mobile number on file; notification service is running</t>
  </si>
  <si>
    <t>Reservation confirmed for Slot C-022, ready for arrival</t>
  </si>
  <si>
    <t>1) Confirm the reservation is ready for arrival. 2) Check the notification service log/owner inbox.</t>
  </si>
  <si>
    <t>Notification SMS is sent within 1 minute of the reservation being confirmed</t>
  </si>
  <si>
    <t>SMS received in 35 seconds</t>
  </si>
  <si>
    <t>TC-I-03</t>
  </si>
  <si>
    <t>FR-01, FR-03</t>
  </si>
  <si>
    <t>Verify gate entry is blocked until registration data is complete</t>
  </si>
  <si>
    <t>A vehicle profile exists but is missing required contact details</t>
  </si>
  <si>
    <t>Attempt to admit a vehicle for an incomplete profile</t>
  </si>
  <si>
    <t>1) Open Gate Entry for the incomplete vehicle profile. 2) Attempt to confirm entry.</t>
  </si>
  <si>
    <t>Entry is blocked with message 'Complete vehicle registration first'</t>
  </si>
  <si>
    <t>Entry proceeded without blocking; incomplete profile was allowed to enter</t>
  </si>
  <si>
    <t>TC-I-04</t>
  </si>
  <si>
    <t>FR-07, FR-10</t>
  </si>
  <si>
    <t>Verify an overstayed exit correctly appears on the Fees module's transaction record</t>
  </si>
  <si>
    <t>Vehicle exits after the paid parking period has expired</t>
  </si>
  <si>
    <t>Exit processed 3 hours past paid period</t>
  </si>
  <si>
    <t>1) Attendant processes the exit. 2) Open Fees for the same vehicle.</t>
  </si>
  <si>
    <t>Fees module shows the correct overstay-fee line item auto-populated from the exit</t>
  </si>
  <si>
    <t>Line item correctly auto-populated</t>
  </si>
  <si>
    <t>TC-I-05</t>
  </si>
  <si>
    <t>FR-07, FR-09</t>
  </si>
  <si>
    <t>Verify a reservation placed by an attendant appears in the vehicle's parking history</t>
  </si>
  <si>
    <t>Attendant is assisting the driver at the counter</t>
  </si>
  <si>
    <t>Reservation: Slot D-006, requested for the current vehicle</t>
  </si>
  <si>
    <t>1) Attendant places the reservation. 2) Open vehicle's parking history / reservations tab.</t>
  </si>
  <si>
    <t>Reservation appears immediately in the vehicle history, timestamped</t>
  </si>
  <si>
    <t>Reservation appeared immediately with correct timestamp</t>
  </si>
  <si>
    <t>TC-I-06</t>
  </si>
  <si>
    <t>FR-03, FR-06</t>
  </si>
  <si>
    <t>Verify automated gate entry correctly matches a scanned plate to the owner's account</t>
  </si>
  <si>
    <t>Owner has an active parking pass and the assigned slot is available</t>
  </si>
  <si>
    <t>License plate and pass QR code scanned at entry gate</t>
  </si>
  <si>
    <t>1) Camera captures the license plate at the entry gate. 2) Owner scans the pass QR code.</t>
  </si>
  <si>
    <t>Gate confirms entry and displays the correct assigned slot</t>
  </si>
  <si>
    <t>Correct slot matched and displayed</t>
  </si>
  <si>
    <t>TC-I-07</t>
  </si>
  <si>
    <t>FR-06</t>
  </si>
  <si>
    <t>Verify exit gate rejects a vehicle with no active entry record</t>
  </si>
  <si>
    <t>Scanned plate has no active entry record for the current day</t>
  </si>
  <si>
    <t>License plate with no matching entry log scanned at exit gate</t>
  </si>
  <si>
    <t>1) Vehicle approaches the exit gate and the camera scans the plate.</t>
  </si>
  <si>
    <t>Exit gate displays 'No matching entry found' and directs driver to the attendant booth</t>
  </si>
  <si>
    <t>Correct message displayed</t>
  </si>
  <si>
    <t>TC-I-08</t>
  </si>
  <si>
    <t>FR-12</t>
  </si>
  <si>
    <t>Verify the audit log records a timestamped entry when a zone's rate is modified</t>
  </si>
  <si>
    <t>Administrator is editing an existing zone's hourly rate</t>
  </si>
  <si>
    <t>Change Zone B rate from '$1.50/hr' to '$2.00/hr'</t>
  </si>
  <si>
    <t>1) Edit and save the hourly rate field. 2) Open the audit log for that zone.</t>
  </si>
  <si>
    <t>Audit log shows user ID, timestamp, old value, and new value</t>
  </si>
  <si>
    <t>Audit entry recorded correctly with all four fields</t>
  </si>
  <si>
    <t>TC-S-01</t>
  </si>
  <si>
    <t>System</t>
  </si>
  <si>
    <t>FR-01,FR-03,FR-04,FR-07,FR-09,FR-10</t>
  </si>
  <si>
    <t>Verify the full end-to-end vehicle visit flow completes without error</t>
  </si>
  <si>
    <t>System is online; test attendant and test vehicle accounts exist</t>
  </si>
  <si>
    <t>New vehicle walks through registration to fee payment</t>
  </si>
  <si>
    <t>1) Register new vehicle online. 2) Place a reservation. 3) Enter via automated gate. 4) Attendant processes an exit. 5) Booth collects an overstay fee.</t>
  </si>
  <si>
    <t>All five steps complete successfully with consistent data across modules</t>
  </si>
  <si>
    <t>All steps completed successfully; data consistent across modules</t>
  </si>
  <si>
    <t>Test Team</t>
  </si>
  <si>
    <t>TC-S-02</t>
  </si>
  <si>
    <t>Verify the system prevents two simultaneous assignments of the same single slot</t>
  </si>
  <si>
    <t>Slot B-014 is available for assignment</t>
  </si>
  <si>
    <t>Two attendants attempt to assign the same slot within seconds of each other</t>
  </si>
  <si>
    <t>1) User A begins assigning Slot B-014. 2) User B attempts to assign the same slot before User A confirms.</t>
  </si>
  <si>
    <t>Only one assignment succeeds; the second is rejected with a conflict message</t>
  </si>
  <si>
    <t>Only User A's assignment succeeded; User B received conflict message</t>
  </si>
  <si>
    <t>TC-S-03</t>
  </si>
  <si>
    <t>Verify real-time slot availability is accurate across the full facility after concurrent entries</t>
  </si>
  <si>
    <t>Multiple vehicles enter concurrently across different zones</t>
  </si>
  <si>
    <t>10 simultaneous entry requests across 6 different zones</t>
  </si>
  <si>
    <t>1) Submit 10 concurrent entry requests. 2) Refresh the facility availability view.</t>
  </si>
  <si>
    <t>Availability view reflects all 10 entries correctly with no lag beyond 2 seconds</t>
  </si>
  <si>
    <t>Availability updated correctly within 1.6 seconds</t>
  </si>
  <si>
    <t>TC-S-04</t>
  </si>
  <si>
    <t>FR-13</t>
  </si>
  <si>
    <t>Verify the weekly occupancy and fees report matches underlying transactions</t>
  </si>
  <si>
    <t>One full week of test transactions exists in the system</t>
  </si>
  <si>
    <t>Generate report for the current week</t>
  </si>
  <si>
    <t>1) Run the weekly report. 2) Manually total the underlying transactions.</t>
  </si>
  <si>
    <t>Report totals match the manually computed totals exactly</t>
  </si>
  <si>
    <t>Report totals matched manual totals exactly</t>
  </si>
  <si>
    <t>TC-S-05</t>
  </si>
  <si>
    <t>NFR-Security</t>
  </si>
  <si>
    <t>Verify the system locks an account after 3 consecutive failed login attempts</t>
  </si>
  <si>
    <t>Valid attendant account exists; user is logged out</t>
  </si>
  <si>
    <t>3 incorrect password attempts in a row</t>
  </si>
  <si>
    <t>1) Enter an incorrect password 3 times.</t>
  </si>
  <si>
    <t>Account is locked; user is shown a lockout message and must reset credentials</t>
  </si>
  <si>
    <t>Account locked after 3rd attempt as expected</t>
  </si>
  <si>
    <t>TC-S-06</t>
  </si>
  <si>
    <t>Verify reminder behavior for a reservation placed less than 24 hours before expiry</t>
  </si>
  <si>
    <t>Current time is 3:00 PM; reservation expiry is 9:00 AM tomorrow (18 hours away)</t>
  </si>
  <si>
    <t>Reservation placed with less than 24 hours' notice before expiry</t>
  </si>
  <si>
    <t>1) Place the reservation. 2) Observe reminder scheduling logic.</t>
  </si>
  <si>
    <t>System sends an immediate confirmation and skips the 24-hour reminder gracefully (no error)</t>
  </si>
  <si>
    <t>Immediate confirmation sent; reminder was skipped, but an error was logged unnecessarily</t>
  </si>
  <si>
    <t>TC-S-07</t>
  </si>
  <si>
    <t>NFR-Performance</t>
  </si>
  <si>
    <t>Verify slot search meets the 3-second performance requirement under normal load</t>
  </si>
  <si>
    <t>System under normal load (approx. 15 concurrent users)</t>
  </si>
  <si>
    <t>Search by zone name</t>
  </si>
  <si>
    <t>1) Run 20 sample searches under load. 2) Record response times.</t>
  </si>
  <si>
    <t>All 20 searches return results in under 3 seconds</t>
  </si>
  <si>
    <t>Average response time 1.7 seconds; max 2.5 seconds</t>
  </si>
  <si>
    <t>TC-S-08</t>
  </si>
  <si>
    <t>NFR-Backup</t>
  </si>
  <si>
    <t>Verify the automatic backup job produces a restorable backup within the 24-hour window</t>
  </si>
  <si>
    <t>Backup job is scheduled to run nightly</t>
  </si>
  <si>
    <t>Trigger scheduled backup job</t>
  </si>
  <si>
    <t>1) Allow the nightly backup job to run. 2) Attempt to restore from the resulting backup file to a test environment.</t>
  </si>
  <si>
    <t>Backup completes and successfully restores with no data loss</t>
  </si>
  <si>
    <t>Backup completed and restored successfully</t>
  </si>
  <si>
    <t>TC-A-01</t>
  </si>
  <si>
    <t>UAT</t>
  </si>
  <si>
    <t>Confirm a parking attendant can register a new walk-in vehicle without assistance</t>
  </si>
  <si>
    <t>Attendant is logged in; no prior training beyond the 2-hour session</t>
  </si>
  <si>
    <t>Walk-in driver's real details</t>
  </si>
  <si>
    <t>1) Attendant independently registers a new walk-in vehicle using only on-screen guidance.</t>
  </si>
  <si>
    <t>Registration is completed correctly within 3 minutes, unassisted</t>
  </si>
  <si>
    <t>Completed in 2 minutes 35 seconds, unassisted</t>
  </si>
  <si>
    <t>Bishal (Attendant)</t>
  </si>
  <si>
    <t>TC-A-02</t>
  </si>
  <si>
    <t>Confirm a parking attendant can recognize and resolve a duplicate-slot-assignment warning</t>
  </si>
  <si>
    <t>A conflicting assignment on an already-occupied slot is deliberately attempted</t>
  </si>
  <si>
    <t>Attendant attempts to assign an already-occupied slot</t>
  </si>
  <si>
    <t>1) Attendant attempts the assignment. 2) Observe his response to the warning shown.</t>
  </si>
  <si>
    <t>Attendant understands the warning and successfully selects another available slot</t>
  </si>
  <si>
    <t>Attendant understood the warning and reassigned correctly</t>
  </si>
  <si>
    <t>TC-A-03</t>
  </si>
  <si>
    <t>FR-08</t>
  </si>
  <si>
    <t>Confirm a supervisor can locate a vehicle's full parking history before assisting a driver</t>
  </si>
  <si>
    <t>Vehicle has 3 prior visits on file</t>
  </si>
  <si>
    <t>Supervisor opens the vehicle's parking history before assisting</t>
  </si>
  <si>
    <t>1) Supervisor searches for the vehicle. 2) Supervisor opens the parking history tab.</t>
  </si>
  <si>
    <t>All 3 prior visits are visible with dates, zones, and exit status</t>
  </si>
  <si>
    <t>All 3 visits visible with complete detail</t>
  </si>
  <si>
    <t>Sarita (Supervisor)</t>
  </si>
  <si>
    <t>TC-A-04</t>
  </si>
  <si>
    <t>FR-09</t>
  </si>
  <si>
    <t>Confirm a supervisor can place a new reservation during a live counter interaction</t>
  </si>
  <si>
    <t>Supervisor is mid-interaction with a driver at the counter</t>
  </si>
  <si>
    <t>New reservation for the current vehicle</t>
  </si>
  <si>
    <t>1) Supervisor places a reservation through the catalog screen during the interaction.</t>
  </si>
  <si>
    <t>Reservation saves without leaving the vehicle screen and prints a parking slip correctly</t>
  </si>
  <si>
    <t>Reservation saved and parking slip printed correctly; no screen interruption</t>
  </si>
  <si>
    <t>TC-A-05</t>
  </si>
  <si>
    <t>Confirm a driver can complete gate entry independently using the automated kiosk without staff help</t>
  </si>
  <si>
    <t>Driver has an active parking pass and an available slot assigned</t>
  </si>
  <si>
    <t>Driver uses the entry kiosk unaided</t>
  </si>
  <si>
    <t>1) Driver approaches the kiosk and follows on-screen prompts to check in.</t>
  </si>
  <si>
    <t>Driver completes entry in under 1 minute without asking staff for help</t>
  </si>
  <si>
    <t>Driver completed entry in 42 seconds unaided</t>
  </si>
  <si>
    <t>Volunteer Driver Panel</t>
  </si>
  <si>
    <t>TC-A-06</t>
  </si>
  <si>
    <t>Confirm an administrator can generate and export a weekly occupancy and fees report</t>
  </si>
  <si>
    <t>One week of transaction data exists</t>
  </si>
  <si>
    <t>Administrator requests the weekly occupancy and fees report</t>
  </si>
  <si>
    <t>1) Administrator navigates to Reports. 2) Selects 'Weekly Occupancy &amp; Fees'. 3) Exports to PDF/Excel.</t>
  </si>
  <si>
    <t>Report generates and exports successfully with correct totals</t>
  </si>
  <si>
    <t>Report generated and exported correctly</t>
  </si>
  <si>
    <t>Parking Administrator</t>
  </si>
  <si>
    <t>TC-A-07</t>
  </si>
  <si>
    <t>Confirm a parking attendant attempting to access the fee-waiver screen is correctly denied</t>
  </si>
  <si>
    <t>Parking Attendant is logged in with standard permissions</t>
  </si>
  <si>
    <t>Attendant attempts to open the fee-waiver screen</t>
  </si>
  <si>
    <t>1) Attendant navigates to the fee-waiver menu item (should not be visible/accessible).</t>
  </si>
  <si>
    <t>Menu item is hidden or access is denied with a clear message</t>
  </si>
  <si>
    <t>Menu item was hidden; attendant could not access the screen</t>
  </si>
  <si>
    <t>Attendant R. Karki</t>
  </si>
  <si>
    <t>TC-A-08</t>
  </si>
  <si>
    <t>Confirm a driver attempting to place a reservation outside facility operating hours receives a clear message</t>
  </si>
  <si>
    <t>Current time is 11:00 PM (after 10:00 PM closing)</t>
  </si>
  <si>
    <t>Driver attempts to place an online reservation at 11:00 PM</t>
  </si>
  <si>
    <t>1) Driver opens the reservations page after hours and attempts to place a reservation.</t>
  </si>
  <si>
    <t>A clear message explains the facility's operating hours and next available time to reserve</t>
  </si>
  <si>
    <t>Message shown, but wording was vague ('Try again later') without stating actual hours</t>
  </si>
  <si>
    <t>Fail (Minor)</t>
  </si>
  <si>
    <t>Metro City Parking Management System (PMS) — Testing Summary</t>
  </si>
  <si>
    <t>By Test Level</t>
  </si>
  <si>
    <t>Total</t>
  </si>
  <si>
    <t>Pass Rate</t>
  </si>
  <si>
    <t>By Scenario Type</t>
  </si>
  <si>
    <t>Legend: 'Pass' = matched expected output. 'Fail' / 'Fail (Minor)' = actual output diverged from expected (see notes column in Test Cases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</si>
</sst>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11"/>
      <color rgb="FF006100"/>
      <name val="Calibri"/>
      <charset val="1"/>
    </font>
    <font>
      <sz val="11"/>
      <color rgb="FF9C0006"/>
      <name val="Calibri"/>
      <charset val="1"/>
    </font>
    <font>
      <sz val="11"/>
      <color rgb="FF9C6500"/>
      <name val="Calibri"/>
      <charset val="1"/>
    </font>
    <font>
      <b/>
      <sz val="14"/>
      <color rgb="FF1F3A5F"/>
      <name val="Times New Roman"/>
      <charset val="1"/>
    </font>
    <font>
      <b/>
      <sz val="11"/>
      <color rgb="FF0000FF"/>
      <name val="Cambria"/>
      <charset val="1"/>
    </font>
    <font>
      <b/>
      <sz val="1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6FA8DC"/>
        <bgColor rgb="FF969696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7" fillId="7" borderId="0" xfId="0" applyFont="1" applyFill="1"/>
    <xf numFmtId="0" fontId="6" fillId="6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 vertical="top"/>
    </xf>
    <xf numFmtId="0" fontId="8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6FA8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zoomScaleNormal="100" workbookViewId="0">
      <selection activeCell="G1" sqref="G1:J1048576"/>
    </sheetView>
  </sheetViews>
  <sheetFormatPr defaultColWidth="8.6640625" defaultRowHeight="14.4" x14ac:dyDescent="0.3"/>
  <cols>
    <col min="1" max="1" width="13.44140625" customWidth="1"/>
    <col min="2" max="2" width="11.33203125" customWidth="1"/>
    <col min="3" max="3" width="14.88671875" customWidth="1"/>
    <col min="4" max="4" width="13" customWidth="1"/>
    <col min="5" max="5" width="32.21875" customWidth="1"/>
    <col min="6" max="6" width="26.44140625" customWidth="1"/>
    <col min="7" max="10" width="31.5546875" customWidth="1"/>
    <col min="11" max="11" width="8.88671875" customWidth="1"/>
    <col min="12" max="12" width="20.88671875" customWidth="1"/>
    <col min="13" max="13" width="17.4414062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58.4" x14ac:dyDescent="0.3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7" t="s">
        <v>23</v>
      </c>
      <c r="L2" s="5" t="s">
        <v>24</v>
      </c>
      <c r="M2" s="8">
        <v>46244</v>
      </c>
    </row>
    <row r="3" spans="1:13" ht="158.4" x14ac:dyDescent="0.3">
      <c r="A3" s="5" t="s">
        <v>25</v>
      </c>
      <c r="B3" s="5" t="s">
        <v>14</v>
      </c>
      <c r="C3" s="5" t="s">
        <v>15</v>
      </c>
      <c r="D3" s="5" t="s">
        <v>26</v>
      </c>
      <c r="E3" s="6" t="s">
        <v>27</v>
      </c>
      <c r="F3" s="6" t="s">
        <v>18</v>
      </c>
      <c r="G3" s="6" t="s">
        <v>28</v>
      </c>
      <c r="H3" s="6" t="s">
        <v>29</v>
      </c>
      <c r="I3" s="6" t="s">
        <v>30</v>
      </c>
      <c r="J3" s="6" t="s">
        <v>31</v>
      </c>
      <c r="K3" s="7" t="s">
        <v>23</v>
      </c>
      <c r="L3" s="5" t="s">
        <v>24</v>
      </c>
      <c r="M3" s="8">
        <v>46244</v>
      </c>
    </row>
    <row r="4" spans="1:13" ht="144" x14ac:dyDescent="0.3">
      <c r="A4" s="5" t="s">
        <v>32</v>
      </c>
      <c r="B4" s="5" t="s">
        <v>14</v>
      </c>
      <c r="C4" s="5" t="s">
        <v>15</v>
      </c>
      <c r="D4" s="5" t="s">
        <v>26</v>
      </c>
      <c r="E4" s="6" t="s">
        <v>33</v>
      </c>
      <c r="F4" s="6" t="s">
        <v>18</v>
      </c>
      <c r="G4" s="6" t="s">
        <v>34</v>
      </c>
      <c r="H4" s="6" t="s">
        <v>35</v>
      </c>
      <c r="I4" s="6" t="s">
        <v>36</v>
      </c>
      <c r="J4" s="6" t="s">
        <v>37</v>
      </c>
      <c r="K4" s="9" t="s">
        <v>38</v>
      </c>
      <c r="L4" s="5" t="s">
        <v>24</v>
      </c>
      <c r="M4" s="8">
        <v>46244</v>
      </c>
    </row>
    <row r="5" spans="1:13" ht="100.8" x14ac:dyDescent="0.3">
      <c r="A5" s="5" t="s">
        <v>39</v>
      </c>
      <c r="B5" s="5" t="s">
        <v>14</v>
      </c>
      <c r="C5" s="5" t="s">
        <v>40</v>
      </c>
      <c r="D5" s="5" t="s">
        <v>16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  <c r="K5" s="7" t="s">
        <v>23</v>
      </c>
      <c r="L5" s="5" t="s">
        <v>24</v>
      </c>
      <c r="M5" s="8">
        <v>46244</v>
      </c>
    </row>
    <row r="6" spans="1:13" ht="129.6" x14ac:dyDescent="0.3">
      <c r="A6" s="5" t="s">
        <v>47</v>
      </c>
      <c r="B6" s="5" t="s">
        <v>14</v>
      </c>
      <c r="C6" s="5" t="s">
        <v>40</v>
      </c>
      <c r="D6" s="5" t="s">
        <v>26</v>
      </c>
      <c r="E6" s="6" t="s">
        <v>48</v>
      </c>
      <c r="F6" s="6" t="s">
        <v>49</v>
      </c>
      <c r="G6" s="6" t="s">
        <v>50</v>
      </c>
      <c r="H6" s="6" t="s">
        <v>44</v>
      </c>
      <c r="I6" s="6" t="s">
        <v>51</v>
      </c>
      <c r="J6" s="6" t="s">
        <v>52</v>
      </c>
      <c r="K6" s="7" t="s">
        <v>23</v>
      </c>
      <c r="L6" s="5" t="s">
        <v>24</v>
      </c>
      <c r="M6" s="8">
        <v>46244</v>
      </c>
    </row>
    <row r="7" spans="1:13" ht="86.4" x14ac:dyDescent="0.3">
      <c r="A7" s="5" t="s">
        <v>53</v>
      </c>
      <c r="B7" s="5" t="s">
        <v>14</v>
      </c>
      <c r="C7" s="5" t="s">
        <v>54</v>
      </c>
      <c r="D7" s="5" t="s">
        <v>16</v>
      </c>
      <c r="E7" s="6" t="s">
        <v>55</v>
      </c>
      <c r="F7" s="6" t="s">
        <v>56</v>
      </c>
      <c r="G7" s="6" t="s">
        <v>57</v>
      </c>
      <c r="H7" s="6" t="s">
        <v>58</v>
      </c>
      <c r="I7" s="6" t="s">
        <v>59</v>
      </c>
      <c r="J7" s="6" t="s">
        <v>60</v>
      </c>
      <c r="K7" s="7" t="s">
        <v>23</v>
      </c>
      <c r="L7" s="5" t="s">
        <v>61</v>
      </c>
      <c r="M7" s="8">
        <v>46245</v>
      </c>
    </row>
    <row r="8" spans="1:13" ht="129.6" x14ac:dyDescent="0.3">
      <c r="A8" s="5" t="s">
        <v>62</v>
      </c>
      <c r="B8" s="5" t="s">
        <v>14</v>
      </c>
      <c r="C8" s="5" t="s">
        <v>63</v>
      </c>
      <c r="D8" s="5" t="s">
        <v>26</v>
      </c>
      <c r="E8" s="6" t="s">
        <v>64</v>
      </c>
      <c r="F8" s="6" t="s">
        <v>65</v>
      </c>
      <c r="G8" s="6" t="s">
        <v>57</v>
      </c>
      <c r="H8" s="6" t="s">
        <v>66</v>
      </c>
      <c r="I8" s="6" t="s">
        <v>67</v>
      </c>
      <c r="J8" s="6" t="s">
        <v>68</v>
      </c>
      <c r="K8" s="7" t="s">
        <v>23</v>
      </c>
      <c r="L8" s="5" t="s">
        <v>61</v>
      </c>
      <c r="M8" s="8">
        <v>46245</v>
      </c>
    </row>
    <row r="9" spans="1:13" ht="115.2" x14ac:dyDescent="0.3">
      <c r="A9" s="5" t="s">
        <v>69</v>
      </c>
      <c r="B9" s="5" t="s">
        <v>14</v>
      </c>
      <c r="C9" s="5" t="s">
        <v>70</v>
      </c>
      <c r="D9" s="5" t="s">
        <v>16</v>
      </c>
      <c r="E9" s="6" t="s">
        <v>71</v>
      </c>
      <c r="F9" s="6" t="s">
        <v>72</v>
      </c>
      <c r="G9" s="6" t="s">
        <v>73</v>
      </c>
      <c r="H9" s="6" t="s">
        <v>74</v>
      </c>
      <c r="I9" s="6" t="s">
        <v>75</v>
      </c>
      <c r="J9" s="6" t="s">
        <v>75</v>
      </c>
      <c r="K9" s="7" t="s">
        <v>23</v>
      </c>
      <c r="L9" s="5" t="s">
        <v>61</v>
      </c>
      <c r="M9" s="8">
        <v>46245</v>
      </c>
    </row>
    <row r="10" spans="1:13" ht="129.6" x14ac:dyDescent="0.3">
      <c r="A10" s="5" t="s">
        <v>76</v>
      </c>
      <c r="B10" s="5" t="s">
        <v>14</v>
      </c>
      <c r="C10" s="5" t="s">
        <v>70</v>
      </c>
      <c r="D10" s="5" t="s">
        <v>26</v>
      </c>
      <c r="E10" s="6" t="s">
        <v>77</v>
      </c>
      <c r="F10" s="6" t="s">
        <v>78</v>
      </c>
      <c r="G10" s="6" t="s">
        <v>79</v>
      </c>
      <c r="H10" s="6" t="s">
        <v>80</v>
      </c>
      <c r="I10" s="6" t="s">
        <v>81</v>
      </c>
      <c r="J10" s="6" t="s">
        <v>82</v>
      </c>
      <c r="K10" s="7" t="s">
        <v>23</v>
      </c>
      <c r="L10" s="5" t="s">
        <v>61</v>
      </c>
      <c r="M10" s="8">
        <v>46245</v>
      </c>
    </row>
    <row r="11" spans="1:13" ht="158.4" x14ac:dyDescent="0.3">
      <c r="A11" s="5" t="s">
        <v>83</v>
      </c>
      <c r="B11" s="5" t="s">
        <v>14</v>
      </c>
      <c r="C11" s="5" t="s">
        <v>84</v>
      </c>
      <c r="D11" s="5" t="s">
        <v>26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  <c r="J11" s="6" t="s">
        <v>90</v>
      </c>
      <c r="K11" s="7" t="s">
        <v>23</v>
      </c>
      <c r="L11" s="5" t="s">
        <v>61</v>
      </c>
      <c r="M11" s="8">
        <v>46245</v>
      </c>
    </row>
    <row r="12" spans="1:13" ht="187.2" x14ac:dyDescent="0.3">
      <c r="A12" s="5" t="s">
        <v>91</v>
      </c>
      <c r="B12" s="5" t="s">
        <v>92</v>
      </c>
      <c r="C12" s="5" t="s">
        <v>93</v>
      </c>
      <c r="D12" s="5" t="s">
        <v>16</v>
      </c>
      <c r="E12" s="6" t="s">
        <v>94</v>
      </c>
      <c r="F12" s="6" t="s">
        <v>95</v>
      </c>
      <c r="G12" s="6" t="s">
        <v>96</v>
      </c>
      <c r="H12" s="6" t="s">
        <v>97</v>
      </c>
      <c r="I12" s="6" t="s">
        <v>98</v>
      </c>
      <c r="J12" s="6" t="s">
        <v>99</v>
      </c>
      <c r="K12" s="7" t="s">
        <v>23</v>
      </c>
      <c r="L12" s="5" t="s">
        <v>24</v>
      </c>
      <c r="M12" s="8">
        <v>46246</v>
      </c>
    </row>
    <row r="13" spans="1:13" ht="201.6" x14ac:dyDescent="0.3">
      <c r="A13" s="5" t="s">
        <v>100</v>
      </c>
      <c r="B13" s="5" t="s">
        <v>92</v>
      </c>
      <c r="C13" s="5" t="s">
        <v>101</v>
      </c>
      <c r="D13" s="5" t="s">
        <v>16</v>
      </c>
      <c r="E13" s="6" t="s">
        <v>102</v>
      </c>
      <c r="F13" s="6" t="s">
        <v>103</v>
      </c>
      <c r="G13" s="6" t="s">
        <v>104</v>
      </c>
      <c r="H13" s="6" t="s">
        <v>105</v>
      </c>
      <c r="I13" s="6" t="s">
        <v>106</v>
      </c>
      <c r="J13" s="6" t="s">
        <v>107</v>
      </c>
      <c r="K13" s="7" t="s">
        <v>23</v>
      </c>
      <c r="L13" s="5" t="s">
        <v>24</v>
      </c>
      <c r="M13" s="8">
        <v>46246</v>
      </c>
    </row>
    <row r="14" spans="1:13" ht="187.2" x14ac:dyDescent="0.3">
      <c r="A14" s="5" t="s">
        <v>108</v>
      </c>
      <c r="B14" s="5" t="s">
        <v>92</v>
      </c>
      <c r="C14" s="5" t="s">
        <v>109</v>
      </c>
      <c r="D14" s="5" t="s">
        <v>26</v>
      </c>
      <c r="E14" s="6" t="s">
        <v>110</v>
      </c>
      <c r="F14" s="6" t="s">
        <v>111</v>
      </c>
      <c r="G14" s="6" t="s">
        <v>112</v>
      </c>
      <c r="H14" s="6" t="s">
        <v>113</v>
      </c>
      <c r="I14" s="6" t="s">
        <v>114</v>
      </c>
      <c r="J14" s="6" t="s">
        <v>115</v>
      </c>
      <c r="K14" s="9" t="s">
        <v>38</v>
      </c>
      <c r="L14" s="5" t="s">
        <v>24</v>
      </c>
      <c r="M14" s="8">
        <v>46246</v>
      </c>
    </row>
    <row r="15" spans="1:13" ht="172.8" x14ac:dyDescent="0.3">
      <c r="A15" s="5" t="s">
        <v>116</v>
      </c>
      <c r="B15" s="5" t="s">
        <v>92</v>
      </c>
      <c r="C15" s="5" t="s">
        <v>117</v>
      </c>
      <c r="D15" s="5" t="s">
        <v>16</v>
      </c>
      <c r="E15" s="6" t="s">
        <v>118</v>
      </c>
      <c r="F15" s="6" t="s">
        <v>119</v>
      </c>
      <c r="G15" s="6" t="s">
        <v>120</v>
      </c>
      <c r="H15" s="6" t="s">
        <v>121</v>
      </c>
      <c r="I15" s="6" t="s">
        <v>122</v>
      </c>
      <c r="J15" s="6" t="s">
        <v>123</v>
      </c>
      <c r="K15" s="7" t="s">
        <v>23</v>
      </c>
      <c r="L15" s="5" t="s">
        <v>61</v>
      </c>
      <c r="M15" s="8">
        <v>46246</v>
      </c>
    </row>
    <row r="16" spans="1:13" ht="172.8" x14ac:dyDescent="0.3">
      <c r="A16" s="5" t="s">
        <v>124</v>
      </c>
      <c r="B16" s="5" t="s">
        <v>92</v>
      </c>
      <c r="C16" s="5" t="s">
        <v>125</v>
      </c>
      <c r="D16" s="5" t="s">
        <v>16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130</v>
      </c>
      <c r="J16" s="6" t="s">
        <v>131</v>
      </c>
      <c r="K16" s="7" t="s">
        <v>23</v>
      </c>
      <c r="L16" s="5" t="s">
        <v>61</v>
      </c>
      <c r="M16" s="8">
        <v>46246</v>
      </c>
    </row>
    <row r="17" spans="1:13" ht="172.8" x14ac:dyDescent="0.3">
      <c r="A17" s="5" t="s">
        <v>132</v>
      </c>
      <c r="B17" s="5" t="s">
        <v>92</v>
      </c>
      <c r="C17" s="5" t="s">
        <v>133</v>
      </c>
      <c r="D17" s="5" t="s">
        <v>16</v>
      </c>
      <c r="E17" s="6" t="s">
        <v>134</v>
      </c>
      <c r="F17" s="6" t="s">
        <v>135</v>
      </c>
      <c r="G17" s="6" t="s">
        <v>136</v>
      </c>
      <c r="H17" s="6" t="s">
        <v>137</v>
      </c>
      <c r="I17" s="6" t="s">
        <v>138</v>
      </c>
      <c r="J17" s="6" t="s">
        <v>139</v>
      </c>
      <c r="K17" s="7" t="s">
        <v>23</v>
      </c>
      <c r="L17" s="5" t="s">
        <v>24</v>
      </c>
      <c r="M17" s="8">
        <v>46247</v>
      </c>
    </row>
    <row r="18" spans="1:13" ht="172.8" x14ac:dyDescent="0.3">
      <c r="A18" s="5" t="s">
        <v>140</v>
      </c>
      <c r="B18" s="5" t="s">
        <v>92</v>
      </c>
      <c r="C18" s="5" t="s">
        <v>141</v>
      </c>
      <c r="D18" s="5" t="s">
        <v>26</v>
      </c>
      <c r="E18" s="6" t="s">
        <v>142</v>
      </c>
      <c r="F18" s="6" t="s">
        <v>143</v>
      </c>
      <c r="G18" s="6" t="s">
        <v>144</v>
      </c>
      <c r="H18" s="6" t="s">
        <v>145</v>
      </c>
      <c r="I18" s="6" t="s">
        <v>146</v>
      </c>
      <c r="J18" s="6" t="s">
        <v>147</v>
      </c>
      <c r="K18" s="7" t="s">
        <v>23</v>
      </c>
      <c r="L18" s="5" t="s">
        <v>24</v>
      </c>
      <c r="M18" s="8">
        <v>46247</v>
      </c>
    </row>
    <row r="19" spans="1:13" ht="144" x14ac:dyDescent="0.3">
      <c r="A19" s="5" t="s">
        <v>148</v>
      </c>
      <c r="B19" s="5" t="s">
        <v>92</v>
      </c>
      <c r="C19" s="5" t="s">
        <v>149</v>
      </c>
      <c r="D19" s="5" t="s">
        <v>16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154</v>
      </c>
      <c r="J19" s="6" t="s">
        <v>155</v>
      </c>
      <c r="K19" s="7" t="s">
        <v>23</v>
      </c>
      <c r="L19" s="5" t="s">
        <v>61</v>
      </c>
      <c r="M19" s="8">
        <v>46247</v>
      </c>
    </row>
    <row r="20" spans="1:13" ht="302.39999999999998" x14ac:dyDescent="0.3">
      <c r="A20" s="5" t="s">
        <v>156</v>
      </c>
      <c r="B20" s="5" t="s">
        <v>157</v>
      </c>
      <c r="C20" s="5" t="s">
        <v>158</v>
      </c>
      <c r="D20" s="5" t="s">
        <v>16</v>
      </c>
      <c r="E20" s="6" t="s">
        <v>159</v>
      </c>
      <c r="F20" s="6" t="s">
        <v>160</v>
      </c>
      <c r="G20" s="6" t="s">
        <v>161</v>
      </c>
      <c r="H20" s="6" t="s">
        <v>162</v>
      </c>
      <c r="I20" s="6" t="s">
        <v>163</v>
      </c>
      <c r="J20" s="6" t="s">
        <v>164</v>
      </c>
      <c r="K20" s="7" t="s">
        <v>23</v>
      </c>
      <c r="L20" s="5" t="s">
        <v>165</v>
      </c>
      <c r="M20" s="8">
        <v>46248</v>
      </c>
    </row>
    <row r="21" spans="1:13" ht="187.2" x14ac:dyDescent="0.3">
      <c r="A21" s="5" t="s">
        <v>166</v>
      </c>
      <c r="B21" s="5" t="s">
        <v>157</v>
      </c>
      <c r="C21" s="5" t="s">
        <v>63</v>
      </c>
      <c r="D21" s="5" t="s">
        <v>16</v>
      </c>
      <c r="E21" s="6" t="s">
        <v>167</v>
      </c>
      <c r="F21" s="6" t="s">
        <v>168</v>
      </c>
      <c r="G21" s="6" t="s">
        <v>169</v>
      </c>
      <c r="H21" s="6" t="s">
        <v>170</v>
      </c>
      <c r="I21" s="6" t="s">
        <v>171</v>
      </c>
      <c r="J21" s="6" t="s">
        <v>172</v>
      </c>
      <c r="K21" s="7" t="s">
        <v>23</v>
      </c>
      <c r="L21" s="5" t="s">
        <v>165</v>
      </c>
      <c r="M21" s="8">
        <v>46248</v>
      </c>
    </row>
    <row r="22" spans="1:13" ht="158.4" x14ac:dyDescent="0.3">
      <c r="A22" s="5" t="s">
        <v>173</v>
      </c>
      <c r="B22" s="5" t="s">
        <v>157</v>
      </c>
      <c r="C22" s="5" t="s">
        <v>54</v>
      </c>
      <c r="D22" s="5" t="s">
        <v>16</v>
      </c>
      <c r="E22" s="6" t="s">
        <v>174</v>
      </c>
      <c r="F22" s="6" t="s">
        <v>175</v>
      </c>
      <c r="G22" s="6" t="s">
        <v>176</v>
      </c>
      <c r="H22" s="6" t="s">
        <v>177</v>
      </c>
      <c r="I22" s="6" t="s">
        <v>178</v>
      </c>
      <c r="J22" s="6" t="s">
        <v>179</v>
      </c>
      <c r="K22" s="7" t="s">
        <v>23</v>
      </c>
      <c r="L22" s="5" t="s">
        <v>165</v>
      </c>
      <c r="M22" s="8">
        <v>46248</v>
      </c>
    </row>
    <row r="23" spans="1:13" ht="144" x14ac:dyDescent="0.3">
      <c r="A23" s="5" t="s">
        <v>180</v>
      </c>
      <c r="B23" s="5" t="s">
        <v>157</v>
      </c>
      <c r="C23" s="5" t="s">
        <v>181</v>
      </c>
      <c r="D23" s="5" t="s">
        <v>16</v>
      </c>
      <c r="E23" s="6" t="s">
        <v>182</v>
      </c>
      <c r="F23" s="6" t="s">
        <v>183</v>
      </c>
      <c r="G23" s="6" t="s">
        <v>184</v>
      </c>
      <c r="H23" s="6" t="s">
        <v>185</v>
      </c>
      <c r="I23" s="6" t="s">
        <v>186</v>
      </c>
      <c r="J23" s="6" t="s">
        <v>187</v>
      </c>
      <c r="K23" s="7" t="s">
        <v>23</v>
      </c>
      <c r="L23" s="5" t="s">
        <v>165</v>
      </c>
      <c r="M23" s="8">
        <v>46249</v>
      </c>
    </row>
    <row r="24" spans="1:13" ht="144" x14ac:dyDescent="0.3">
      <c r="A24" s="5" t="s">
        <v>188</v>
      </c>
      <c r="B24" s="5" t="s">
        <v>157</v>
      </c>
      <c r="C24" s="5" t="s">
        <v>189</v>
      </c>
      <c r="D24" s="5" t="s">
        <v>26</v>
      </c>
      <c r="E24" s="6" t="s">
        <v>190</v>
      </c>
      <c r="F24" s="6" t="s">
        <v>191</v>
      </c>
      <c r="G24" s="6" t="s">
        <v>192</v>
      </c>
      <c r="H24" s="6" t="s">
        <v>193</v>
      </c>
      <c r="I24" s="6" t="s">
        <v>194</v>
      </c>
      <c r="J24" s="6" t="s">
        <v>195</v>
      </c>
      <c r="K24" s="7" t="s">
        <v>23</v>
      </c>
      <c r="L24" s="5" t="s">
        <v>165</v>
      </c>
      <c r="M24" s="8">
        <v>46249</v>
      </c>
    </row>
    <row r="25" spans="1:13" ht="187.2" x14ac:dyDescent="0.3">
      <c r="A25" s="5" t="s">
        <v>196</v>
      </c>
      <c r="B25" s="5" t="s">
        <v>157</v>
      </c>
      <c r="C25" s="5" t="s">
        <v>101</v>
      </c>
      <c r="D25" s="5" t="s">
        <v>26</v>
      </c>
      <c r="E25" s="6" t="s">
        <v>197</v>
      </c>
      <c r="F25" s="6" t="s">
        <v>198</v>
      </c>
      <c r="G25" s="6" t="s">
        <v>199</v>
      </c>
      <c r="H25" s="6" t="s">
        <v>200</v>
      </c>
      <c r="I25" s="6" t="s">
        <v>201</v>
      </c>
      <c r="J25" s="6" t="s">
        <v>202</v>
      </c>
      <c r="K25" s="9" t="s">
        <v>38</v>
      </c>
      <c r="L25" s="5" t="s">
        <v>165</v>
      </c>
      <c r="M25" s="8">
        <v>46249</v>
      </c>
    </row>
    <row r="26" spans="1:13" ht="115.2" x14ac:dyDescent="0.3">
      <c r="A26" s="5" t="s">
        <v>203</v>
      </c>
      <c r="B26" s="5" t="s">
        <v>157</v>
      </c>
      <c r="C26" s="5" t="s">
        <v>204</v>
      </c>
      <c r="D26" s="5" t="s">
        <v>16</v>
      </c>
      <c r="E26" s="6" t="s">
        <v>205</v>
      </c>
      <c r="F26" s="6" t="s">
        <v>206</v>
      </c>
      <c r="G26" s="6" t="s">
        <v>207</v>
      </c>
      <c r="H26" s="6" t="s">
        <v>208</v>
      </c>
      <c r="I26" s="6" t="s">
        <v>209</v>
      </c>
      <c r="J26" s="6" t="s">
        <v>210</v>
      </c>
      <c r="K26" s="7" t="s">
        <v>23</v>
      </c>
      <c r="L26" s="5" t="s">
        <v>165</v>
      </c>
      <c r="M26" s="8">
        <v>46249</v>
      </c>
    </row>
    <row r="27" spans="1:13" ht="230.4" x14ac:dyDescent="0.3">
      <c r="A27" s="5" t="s">
        <v>211</v>
      </c>
      <c r="B27" s="5" t="s">
        <v>157</v>
      </c>
      <c r="C27" s="5" t="s">
        <v>212</v>
      </c>
      <c r="D27" s="5" t="s">
        <v>16</v>
      </c>
      <c r="E27" s="6" t="s">
        <v>213</v>
      </c>
      <c r="F27" s="6" t="s">
        <v>214</v>
      </c>
      <c r="G27" s="6" t="s">
        <v>215</v>
      </c>
      <c r="H27" s="6" t="s">
        <v>216</v>
      </c>
      <c r="I27" s="6" t="s">
        <v>217</v>
      </c>
      <c r="J27" s="6" t="s">
        <v>218</v>
      </c>
      <c r="K27" s="7" t="s">
        <v>23</v>
      </c>
      <c r="L27" s="5" t="s">
        <v>165</v>
      </c>
      <c r="M27" s="8">
        <v>46249</v>
      </c>
    </row>
    <row r="28" spans="1:13" ht="201.6" x14ac:dyDescent="0.3">
      <c r="A28" s="5" t="s">
        <v>219</v>
      </c>
      <c r="B28" s="5" t="s">
        <v>220</v>
      </c>
      <c r="C28" s="5" t="s">
        <v>15</v>
      </c>
      <c r="D28" s="5" t="s">
        <v>16</v>
      </c>
      <c r="E28" s="6" t="s">
        <v>221</v>
      </c>
      <c r="F28" s="6" t="s">
        <v>222</v>
      </c>
      <c r="G28" s="6" t="s">
        <v>223</v>
      </c>
      <c r="H28" s="6" t="s">
        <v>224</v>
      </c>
      <c r="I28" s="6" t="s">
        <v>225</v>
      </c>
      <c r="J28" s="6" t="s">
        <v>226</v>
      </c>
      <c r="K28" s="7" t="s">
        <v>23</v>
      </c>
      <c r="L28" s="5" t="s">
        <v>227</v>
      </c>
      <c r="M28" s="8">
        <v>46251</v>
      </c>
    </row>
    <row r="29" spans="1:13" ht="187.2" x14ac:dyDescent="0.3">
      <c r="A29" s="5" t="s">
        <v>228</v>
      </c>
      <c r="B29" s="5" t="s">
        <v>220</v>
      </c>
      <c r="C29" s="5" t="s">
        <v>63</v>
      </c>
      <c r="D29" s="5" t="s">
        <v>16</v>
      </c>
      <c r="E29" s="6" t="s">
        <v>229</v>
      </c>
      <c r="F29" s="6" t="s">
        <v>230</v>
      </c>
      <c r="G29" s="6" t="s">
        <v>231</v>
      </c>
      <c r="H29" s="6" t="s">
        <v>232</v>
      </c>
      <c r="I29" s="6" t="s">
        <v>233</v>
      </c>
      <c r="J29" s="6" t="s">
        <v>234</v>
      </c>
      <c r="K29" s="7" t="s">
        <v>23</v>
      </c>
      <c r="L29" s="5" t="s">
        <v>227</v>
      </c>
      <c r="M29" s="8">
        <v>46251</v>
      </c>
    </row>
    <row r="30" spans="1:13" ht="187.2" x14ac:dyDescent="0.3">
      <c r="A30" s="5" t="s">
        <v>235</v>
      </c>
      <c r="B30" s="5" t="s">
        <v>220</v>
      </c>
      <c r="C30" s="5" t="s">
        <v>236</v>
      </c>
      <c r="D30" s="5" t="s">
        <v>16</v>
      </c>
      <c r="E30" s="6" t="s">
        <v>237</v>
      </c>
      <c r="F30" s="6" t="s">
        <v>238</v>
      </c>
      <c r="G30" s="6" t="s">
        <v>239</v>
      </c>
      <c r="H30" s="6" t="s">
        <v>240</v>
      </c>
      <c r="I30" s="6" t="s">
        <v>241</v>
      </c>
      <c r="J30" s="6" t="s">
        <v>242</v>
      </c>
      <c r="K30" s="7" t="s">
        <v>23</v>
      </c>
      <c r="L30" s="5" t="s">
        <v>243</v>
      </c>
      <c r="M30" s="8">
        <v>46252</v>
      </c>
    </row>
    <row r="31" spans="1:13" ht="201.6" x14ac:dyDescent="0.3">
      <c r="A31" s="5" t="s">
        <v>244</v>
      </c>
      <c r="B31" s="5" t="s">
        <v>220</v>
      </c>
      <c r="C31" s="5" t="s">
        <v>245</v>
      </c>
      <c r="D31" s="5" t="s">
        <v>16</v>
      </c>
      <c r="E31" s="6" t="s">
        <v>246</v>
      </c>
      <c r="F31" s="6" t="s">
        <v>247</v>
      </c>
      <c r="G31" s="6" t="s">
        <v>248</v>
      </c>
      <c r="H31" s="6" t="s">
        <v>249</v>
      </c>
      <c r="I31" s="6" t="s">
        <v>250</v>
      </c>
      <c r="J31" s="6" t="s">
        <v>251</v>
      </c>
      <c r="K31" s="7" t="s">
        <v>23</v>
      </c>
      <c r="L31" s="5" t="s">
        <v>243</v>
      </c>
      <c r="M31" s="8">
        <v>46252</v>
      </c>
    </row>
    <row r="32" spans="1:13" ht="144" x14ac:dyDescent="0.3">
      <c r="A32" s="5" t="s">
        <v>252</v>
      </c>
      <c r="B32" s="5" t="s">
        <v>220</v>
      </c>
      <c r="C32" s="5" t="s">
        <v>141</v>
      </c>
      <c r="D32" s="5" t="s">
        <v>16</v>
      </c>
      <c r="E32" s="6" t="s">
        <v>253</v>
      </c>
      <c r="F32" s="6" t="s">
        <v>254</v>
      </c>
      <c r="G32" s="6" t="s">
        <v>255</v>
      </c>
      <c r="H32" s="6" t="s">
        <v>256</v>
      </c>
      <c r="I32" s="6" t="s">
        <v>257</v>
      </c>
      <c r="J32" s="6" t="s">
        <v>258</v>
      </c>
      <c r="K32" s="7" t="s">
        <v>23</v>
      </c>
      <c r="L32" s="5" t="s">
        <v>259</v>
      </c>
      <c r="M32" s="8">
        <v>46252</v>
      </c>
    </row>
    <row r="33" spans="1:13" ht="216" x14ac:dyDescent="0.3">
      <c r="A33" s="5" t="s">
        <v>260</v>
      </c>
      <c r="B33" s="5" t="s">
        <v>220</v>
      </c>
      <c r="C33" s="5" t="s">
        <v>181</v>
      </c>
      <c r="D33" s="5" t="s">
        <v>16</v>
      </c>
      <c r="E33" s="6" t="s">
        <v>261</v>
      </c>
      <c r="F33" s="6" t="s">
        <v>262</v>
      </c>
      <c r="G33" s="6" t="s">
        <v>263</v>
      </c>
      <c r="H33" s="6" t="s">
        <v>264</v>
      </c>
      <c r="I33" s="6" t="s">
        <v>265</v>
      </c>
      <c r="J33" s="6" t="s">
        <v>266</v>
      </c>
      <c r="K33" s="7" t="s">
        <v>23</v>
      </c>
      <c r="L33" s="5" t="s">
        <v>267</v>
      </c>
      <c r="M33" s="8">
        <v>46253</v>
      </c>
    </row>
    <row r="34" spans="1:13" ht="187.2" x14ac:dyDescent="0.3">
      <c r="A34" s="5" t="s">
        <v>268</v>
      </c>
      <c r="B34" s="5" t="s">
        <v>220</v>
      </c>
      <c r="C34" s="5" t="s">
        <v>84</v>
      </c>
      <c r="D34" s="5" t="s">
        <v>26</v>
      </c>
      <c r="E34" s="6" t="s">
        <v>269</v>
      </c>
      <c r="F34" s="6" t="s">
        <v>270</v>
      </c>
      <c r="G34" s="6" t="s">
        <v>271</v>
      </c>
      <c r="H34" s="6" t="s">
        <v>272</v>
      </c>
      <c r="I34" s="6" t="s">
        <v>273</v>
      </c>
      <c r="J34" s="6" t="s">
        <v>274</v>
      </c>
      <c r="K34" s="7" t="s">
        <v>23</v>
      </c>
      <c r="L34" s="5" t="s">
        <v>275</v>
      </c>
      <c r="M34" s="8">
        <v>46253</v>
      </c>
    </row>
    <row r="35" spans="1:13" ht="187.2" x14ac:dyDescent="0.3">
      <c r="A35" s="5" t="s">
        <v>276</v>
      </c>
      <c r="B35" s="5" t="s">
        <v>220</v>
      </c>
      <c r="C35" s="5" t="s">
        <v>54</v>
      </c>
      <c r="D35" s="5" t="s">
        <v>26</v>
      </c>
      <c r="E35" s="6" t="s">
        <v>277</v>
      </c>
      <c r="F35" s="6" t="s">
        <v>278</v>
      </c>
      <c r="G35" s="6" t="s">
        <v>279</v>
      </c>
      <c r="H35" s="6" t="s">
        <v>280</v>
      </c>
      <c r="I35" s="6" t="s">
        <v>281</v>
      </c>
      <c r="J35" s="6" t="s">
        <v>282</v>
      </c>
      <c r="K35" s="10" t="s">
        <v>283</v>
      </c>
      <c r="L35" s="5" t="s">
        <v>259</v>
      </c>
      <c r="M35" s="8">
        <v>46253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zoomScaleNormal="100" workbookViewId="0">
      <selection sqref="A1:D1"/>
    </sheetView>
  </sheetViews>
  <sheetFormatPr defaultColWidth="8.6640625" defaultRowHeight="14.4" x14ac:dyDescent="0.3"/>
  <cols>
    <col min="1" max="1" width="12.6640625" customWidth="1"/>
    <col min="2" max="2" width="10.6640625" customWidth="1"/>
    <col min="3" max="3" width="7.44140625" customWidth="1"/>
    <col min="4" max="4" width="10.33203125" customWidth="1"/>
    <col min="5" max="5" width="11" customWidth="1"/>
    <col min="6" max="6" width="12.77734375" customWidth="1"/>
  </cols>
  <sheetData>
    <row r="1" spans="1:5" ht="17.399999999999999" x14ac:dyDescent="0.3">
      <c r="A1" s="3" t="s">
        <v>284</v>
      </c>
      <c r="B1" s="3"/>
      <c r="C1" s="3"/>
      <c r="D1" s="3"/>
    </row>
    <row r="3" spans="1:5" x14ac:dyDescent="0.3">
      <c r="A3" s="2" t="s">
        <v>285</v>
      </c>
      <c r="B3" s="2"/>
      <c r="C3" s="2"/>
      <c r="D3" s="2"/>
    </row>
    <row r="4" spans="1:5" x14ac:dyDescent="0.3">
      <c r="A4" s="11" t="s">
        <v>1</v>
      </c>
      <c r="B4" s="11" t="s">
        <v>286</v>
      </c>
      <c r="C4" s="11" t="s">
        <v>23</v>
      </c>
      <c r="D4" s="11" t="s">
        <v>38</v>
      </c>
      <c r="E4" s="11" t="s">
        <v>287</v>
      </c>
    </row>
    <row r="5" spans="1:5" x14ac:dyDescent="0.3">
      <c r="A5" t="s">
        <v>14</v>
      </c>
      <c r="B5">
        <f>COUNTIF('Test Cases'!$B$2:$B$35,A5)</f>
        <v>10</v>
      </c>
      <c r="C5">
        <f>COUNTIFS('Test Cases'!$B$2:$B$35,A5,'Test Cases'!$K$2:$K$35,"Pass")</f>
        <v>9</v>
      </c>
      <c r="D5">
        <f>B5-C5</f>
        <v>1</v>
      </c>
      <c r="E5" s="12">
        <f>IF(B5=0,0,C5/B5)</f>
        <v>0.9</v>
      </c>
    </row>
    <row r="6" spans="1:5" x14ac:dyDescent="0.3">
      <c r="A6" t="s">
        <v>92</v>
      </c>
      <c r="B6">
        <f>COUNTIF('Test Cases'!$B$2:$B$35,A6)</f>
        <v>8</v>
      </c>
      <c r="C6">
        <f>COUNTIFS('Test Cases'!$B$2:$B$35,A6,'Test Cases'!$K$2:$K$35,"Pass")</f>
        <v>7</v>
      </c>
      <c r="D6">
        <f>B6-C6</f>
        <v>1</v>
      </c>
      <c r="E6" s="12">
        <f>IF(B6=0,0,C6/B6)</f>
        <v>0.875</v>
      </c>
    </row>
    <row r="7" spans="1:5" x14ac:dyDescent="0.3">
      <c r="A7" t="s">
        <v>157</v>
      </c>
      <c r="B7">
        <f>COUNTIF('Test Cases'!$B$2:$B$35,A7)</f>
        <v>8</v>
      </c>
      <c r="C7">
        <f>COUNTIFS('Test Cases'!$B$2:$B$35,A7,'Test Cases'!$K$2:$K$35,"Pass")</f>
        <v>7</v>
      </c>
      <c r="D7">
        <f>B7-C7</f>
        <v>1</v>
      </c>
      <c r="E7" s="12">
        <f>IF(B7=0,0,C7/B7)</f>
        <v>0.875</v>
      </c>
    </row>
    <row r="8" spans="1:5" x14ac:dyDescent="0.3">
      <c r="A8" t="s">
        <v>220</v>
      </c>
      <c r="B8">
        <f>COUNTIF('Test Cases'!$B$2:$B$35,A8)</f>
        <v>8</v>
      </c>
      <c r="C8">
        <f>COUNTIFS('Test Cases'!$B$2:$B$35,A8,'Test Cases'!$K$2:$K$35,"Pass")</f>
        <v>7</v>
      </c>
      <c r="D8">
        <f>B8-C8</f>
        <v>1</v>
      </c>
      <c r="E8" s="12">
        <f>IF(B8=0,0,C8/B8)</f>
        <v>0.875</v>
      </c>
    </row>
    <row r="9" spans="1:5" x14ac:dyDescent="0.3">
      <c r="A9" t="s">
        <v>286</v>
      </c>
      <c r="B9">
        <f>SUM(B5:B8)</f>
        <v>34</v>
      </c>
      <c r="C9">
        <f>SUM(C5:C8)</f>
        <v>30</v>
      </c>
      <c r="D9">
        <f>SUM(D5:D8)</f>
        <v>4</v>
      </c>
      <c r="E9" s="12">
        <f>IF(B9=0,0,C9/B9)</f>
        <v>0.88235294117647056</v>
      </c>
    </row>
    <row r="11" spans="1:5" x14ac:dyDescent="0.3">
      <c r="A11" s="2" t="s">
        <v>288</v>
      </c>
      <c r="B11" s="2"/>
      <c r="C11" s="2"/>
      <c r="D11" s="2"/>
    </row>
    <row r="12" spans="1:5" x14ac:dyDescent="0.3">
      <c r="A12" s="11" t="s">
        <v>3</v>
      </c>
      <c r="B12" s="11" t="s">
        <v>286</v>
      </c>
      <c r="C12" s="11" t="s">
        <v>23</v>
      </c>
      <c r="D12" s="11" t="s">
        <v>38</v>
      </c>
      <c r="E12" s="11" t="s">
        <v>287</v>
      </c>
    </row>
    <row r="13" spans="1:5" x14ac:dyDescent="0.3">
      <c r="A13" t="s">
        <v>16</v>
      </c>
      <c r="B13">
        <f>COUNTIF('Test Cases'!$D$2:$D$35,A13)</f>
        <v>22</v>
      </c>
      <c r="C13">
        <f>COUNTIFS('Test Cases'!$D$2:$D$35,A13,'Test Cases'!$K$2:$K$35,"Pass")</f>
        <v>22</v>
      </c>
      <c r="D13">
        <f>B13-C13</f>
        <v>0</v>
      </c>
      <c r="E13" s="12">
        <f>IF(B13=0,0,C13/B13)</f>
        <v>1</v>
      </c>
    </row>
    <row r="14" spans="1:5" x14ac:dyDescent="0.3">
      <c r="A14" t="s">
        <v>26</v>
      </c>
      <c r="B14">
        <f>COUNTIF('Test Cases'!$D$2:$D$35,A14)</f>
        <v>12</v>
      </c>
      <c r="C14">
        <f>COUNTIFS('Test Cases'!$D$2:$D$35,A14,'Test Cases'!$K$2:$K$35,"Pass")</f>
        <v>8</v>
      </c>
      <c r="D14">
        <f>B14-C14</f>
        <v>4</v>
      </c>
      <c r="E14" s="12">
        <f>IF(B14=0,0,C14/B14)</f>
        <v>0.66666666666666663</v>
      </c>
    </row>
    <row r="17" spans="1:5" x14ac:dyDescent="0.3">
      <c r="A17" s="1" t="s">
        <v>289</v>
      </c>
      <c r="B17" s="1"/>
      <c r="C17" s="1"/>
      <c r="D17" s="1"/>
      <c r="E17" s="1"/>
    </row>
  </sheetData>
  <mergeCells count="4">
    <mergeCell ref="A1:D1"/>
    <mergeCell ref="A3:D3"/>
    <mergeCell ref="A11:D11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Dinesh Devkota</cp:lastModifiedBy>
  <cp:revision>0</cp:revision>
  <dcterms:created xsi:type="dcterms:W3CDTF">2026-08-19T15:16:48Z</dcterms:created>
  <dcterms:modified xsi:type="dcterms:W3CDTF">2026-08-19T16:06:22Z</dcterms:modified>
  <dc:language>en-US</dc:language>
</cp:coreProperties>
</file>